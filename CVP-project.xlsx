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very\Downloads\"/>
    </mc:Choice>
  </mc:AlternateContent>
  <xr:revisionPtr revIDLastSave="0" documentId="8_{C02E1F66-CE77-4E2D-BCD3-D67F71A68A63}" xr6:coauthVersionLast="47" xr6:coauthVersionMax="47" xr10:uidLastSave="{00000000-0000-0000-0000-000000000000}"/>
  <bookViews>
    <workbookView xWindow="-108" yWindow="-108" windowWidth="23256" windowHeight="13896" activeTab="1" xr2:uid="{00000000-000D-0000-FFFF-FFFF00000000}"/>
  </bookViews>
  <sheets>
    <sheet name="Business &amp; Directions" sheetId="4" r:id="rId1"/>
    <sheet name="Starting file" sheetId="3" r:id="rId2"/>
    <sheet name="Advising client" sheetId="11" r:id="rId3"/>
    <sheet name="Grading Rubric" sheetId="1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2" i="3" l="1"/>
  <c r="I32" i="3"/>
  <c r="K31" i="3"/>
  <c r="J31" i="3"/>
  <c r="I31" i="3"/>
  <c r="J7" i="3"/>
  <c r="J8" i="3"/>
  <c r="J9" i="3"/>
  <c r="I9" i="3"/>
  <c r="I8" i="3"/>
  <c r="I7" i="3"/>
  <c r="K7" i="3"/>
  <c r="K8" i="3"/>
  <c r="K9" i="3"/>
  <c r="K10" i="3"/>
  <c r="J28" i="3"/>
  <c r="I28" i="3"/>
  <c r="K27" i="3"/>
  <c r="J27" i="3"/>
  <c r="I27" i="3"/>
  <c r="J19" i="3"/>
  <c r="K19" i="3" s="1"/>
  <c r="I19" i="3"/>
  <c r="C26" i="3"/>
  <c r="C18" i="3"/>
  <c r="C19" i="3" s="1"/>
  <c r="C8" i="3"/>
  <c r="C9" i="3" s="1"/>
  <c r="D35" i="13"/>
  <c r="C35" i="13"/>
  <c r="K13" i="3" l="1"/>
  <c r="K28" i="3" s="1"/>
  <c r="F3" i="3"/>
  <c r="F15" i="3"/>
  <c r="F18" i="3"/>
  <c r="I18" i="3" l="1"/>
  <c r="F4" i="3"/>
  <c r="F10" i="3"/>
  <c r="F16" i="3"/>
  <c r="J18" i="3"/>
  <c r="J20" i="3" s="1"/>
  <c r="F6" i="3"/>
  <c r="F22" i="3"/>
  <c r="F23" i="3" l="1"/>
  <c r="F19" i="3"/>
  <c r="F11" i="3"/>
  <c r="F7" i="3"/>
  <c r="I20" i="3"/>
  <c r="K20" i="3" s="1"/>
  <c r="K22" i="3" s="1"/>
  <c r="K18" i="3"/>
  <c r="K11" i="3" l="1"/>
</calcChain>
</file>

<file path=xl/sharedStrings.xml><?xml version="1.0" encoding="utf-8"?>
<sst xmlns="http://schemas.openxmlformats.org/spreadsheetml/2006/main" count="121" uniqueCount="82">
  <si>
    <t>ASSUMPTIONS</t>
  </si>
  <si>
    <t>Sales price per unit</t>
  </si>
  <si>
    <t>Product #1:</t>
  </si>
  <si>
    <t>Product #2:</t>
  </si>
  <si>
    <t>Product #1</t>
  </si>
  <si>
    <t>Product #2</t>
  </si>
  <si>
    <t>Monthly volume</t>
  </si>
  <si>
    <t>For the month ending June 30</t>
  </si>
  <si>
    <t>Total</t>
  </si>
  <si>
    <t>CM %</t>
  </si>
  <si>
    <t>-in units</t>
  </si>
  <si>
    <t>-in sales revenue</t>
  </si>
  <si>
    <t>Target profit volume:</t>
  </si>
  <si>
    <t>Breakeven point:</t>
  </si>
  <si>
    <t>Unit CM</t>
  </si>
  <si>
    <t>Variable costs per unit:</t>
  </si>
  <si>
    <t>Total variable cost per unit</t>
  </si>
  <si>
    <t>Target profit per month</t>
  </si>
  <si>
    <t>Calculation of Weighted average CM  per unit</t>
  </si>
  <si>
    <t>WACM/unit</t>
  </si>
  <si>
    <t>Margin of Safety (in $)</t>
  </si>
  <si>
    <t>Margin of Safety %</t>
  </si>
  <si>
    <t>Operating Leverage Factor</t>
  </si>
  <si>
    <t>Expected change in volume (%)</t>
  </si>
  <si>
    <t>Fixed costs per month:</t>
  </si>
  <si>
    <t>Total fixed costs per month</t>
  </si>
  <si>
    <t>Operating income</t>
  </si>
  <si>
    <t>Pro Forma Contribution Margin Income Statement</t>
  </si>
  <si>
    <t>Multiproduct Breakeven point:</t>
  </si>
  <si>
    <t>Sales revenue at breakeven</t>
  </si>
  <si>
    <t>Expected % change in operating income (%)</t>
  </si>
  <si>
    <t>Multiproduct Target profit point:</t>
  </si>
  <si>
    <t>Sales revenue at target profit</t>
  </si>
  <si>
    <t>NEW</t>
  </si>
  <si>
    <t>Change</t>
  </si>
  <si>
    <t>ORIGINAL</t>
  </si>
  <si>
    <t>WACM percentage</t>
  </si>
  <si>
    <t>MOS%</t>
  </si>
  <si>
    <t>Units to earn target profit</t>
  </si>
  <si>
    <t>Operating leverage factor</t>
  </si>
  <si>
    <t>Expected % change in op inc</t>
  </si>
  <si>
    <t>Grading Rubric</t>
  </si>
  <si>
    <t>Formatting conventions followed:</t>
  </si>
  <si>
    <t>units</t>
  </si>
  <si>
    <t>monetary amounts</t>
  </si>
  <si>
    <t>percentages</t>
  </si>
  <si>
    <t>right justified</t>
  </si>
  <si>
    <t>Original Assumption worksheet</t>
  </si>
  <si>
    <t>Advising Client worksheet</t>
  </si>
  <si>
    <t>Correct comparison figures</t>
  </si>
  <si>
    <t>Explanation</t>
  </si>
  <si>
    <t>Supplier cost increase (green boxes)</t>
  </si>
  <si>
    <t>New Sales mix (yellow boxes)</t>
  </si>
  <si>
    <t>Alternative contract (purple boxes)</t>
  </si>
  <si>
    <t>Data on worksheet follows formatting conventions</t>
  </si>
  <si>
    <t>Other 3 worksheets properly labeled</t>
  </si>
  <si>
    <t>Other 3 Worksheets</t>
  </si>
  <si>
    <t>Points possible</t>
  </si>
  <si>
    <t>Points lost</t>
  </si>
  <si>
    <t xml:space="preserve"> </t>
  </si>
  <si>
    <t>Launch-it</t>
  </si>
  <si>
    <t>Treat-time</t>
  </si>
  <si>
    <r>
      <rPr>
        <sz val="11"/>
        <color rgb="FFFF0000"/>
        <rFont val="Calibri"/>
        <family val="2"/>
        <scheme val="minor"/>
      </rPr>
      <t>ALL</t>
    </r>
    <r>
      <rPr>
        <sz val="11"/>
        <color theme="1"/>
        <rFont val="Calibri"/>
        <family val="2"/>
        <scheme val="minor"/>
      </rPr>
      <t xml:space="preserve"> figures used formulas and cell references</t>
    </r>
    <r>
      <rPr>
        <b/>
        <i/>
        <sz val="11"/>
        <color theme="1"/>
        <rFont val="Calibri"/>
        <family val="2"/>
        <scheme val="minor"/>
      </rPr>
      <t xml:space="preserve"> except</t>
    </r>
    <r>
      <rPr>
        <sz val="11"/>
        <color theme="1"/>
        <rFont val="Calibri"/>
        <family val="2"/>
        <scheme val="minor"/>
      </rPr>
      <t xml:space="preserve"> in blue box</t>
    </r>
  </si>
  <si>
    <r>
      <rPr>
        <sz val="11"/>
        <color rgb="FFFF0000"/>
        <rFont val="Calibri"/>
        <family val="2"/>
        <scheme val="minor"/>
      </rPr>
      <t>All</t>
    </r>
    <r>
      <rPr>
        <sz val="11"/>
        <color theme="1"/>
        <rFont val="Calibri"/>
        <family val="2"/>
        <scheme val="minor"/>
      </rPr>
      <t xml:space="preserve"> figures are correct (check figures given in directions)</t>
    </r>
  </si>
  <si>
    <t>Sir Henry's Pet Supplies</t>
  </si>
  <si>
    <t>x</t>
  </si>
  <si>
    <t>File name  specifies partner names</t>
  </si>
  <si>
    <t>Supply Cost</t>
  </si>
  <si>
    <t>Shipping and Handling</t>
  </si>
  <si>
    <t>Commission</t>
  </si>
  <si>
    <t>Supply cost</t>
  </si>
  <si>
    <t>Shipping  and handling</t>
  </si>
  <si>
    <t>Salary</t>
  </si>
  <si>
    <t>Trade Booth Costs</t>
  </si>
  <si>
    <t>Sales Price</t>
  </si>
  <si>
    <t>Less: Variable Cost</t>
  </si>
  <si>
    <t>Contribution Margin</t>
  </si>
  <si>
    <t>Less: Fixed Costs</t>
  </si>
  <si>
    <t>Operating Income</t>
  </si>
  <si>
    <t>CM/Unit</t>
  </si>
  <si>
    <t>Sales Mix</t>
  </si>
  <si>
    <t>Contribution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</si>
</sst>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F400]h:mm:ss\ AM/PM"/>
  </numFmts>
  <fonts count="8" x14ac:knownFonts="1">
    <font>
      <sz val="11"/>
      <color theme="1"/>
      <name val="Calibri"/>
      <family val="2"/>
      <scheme val="minor"/>
    </font>
    <font>
      <sz val="11"/>
      <color theme="1"/>
      <name val="Calibri"/>
      <family val="2"/>
      <scheme val="minor"/>
    </font>
    <font>
      <u/>
      <sz val="11"/>
      <color theme="1"/>
      <name val="Calibri"/>
      <family val="2"/>
      <scheme val="minor"/>
    </font>
    <font>
      <b/>
      <sz val="11"/>
      <color theme="1"/>
      <name val="Calibri"/>
      <family val="2"/>
      <scheme val="minor"/>
    </font>
    <font>
      <b/>
      <u/>
      <sz val="11"/>
      <color theme="1"/>
      <name val="Calibri"/>
      <family val="2"/>
      <scheme val="minor"/>
    </font>
    <font>
      <b/>
      <i/>
      <sz val="11"/>
      <color theme="1"/>
      <name val="Calibri"/>
      <family val="2"/>
      <scheme val="minor"/>
    </font>
    <font>
      <b/>
      <sz val="11"/>
      <color rgb="FFFF0000"/>
      <name val="Calibri"/>
      <family val="2"/>
      <scheme val="minor"/>
    </font>
    <font>
      <sz val="11"/>
      <color rgb="FFFF000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CCCCFF"/>
        <bgColor indexed="64"/>
      </patternFill>
    </fill>
    <fill>
      <patternFill patternType="solid">
        <fgColor theme="2"/>
        <bgColor indexed="64"/>
      </patternFill>
    </fill>
    <fill>
      <patternFill patternType="solid">
        <fgColor rgb="FFCCFFCC"/>
        <bgColor indexed="64"/>
      </patternFill>
    </fill>
    <fill>
      <patternFill patternType="solid">
        <fgColor rgb="FFFFFF99"/>
        <bgColor indexed="64"/>
      </patternFill>
    </fill>
  </fills>
  <borders count="2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6">
    <xf numFmtId="0" fontId="0" fillId="0" borderId="0" xfId="0"/>
    <xf numFmtId="0" fontId="2" fillId="0" borderId="0" xfId="0" applyFont="1" applyAlignment="1">
      <alignment horizontal="center"/>
    </xf>
    <xf numFmtId="44" fontId="0" fillId="0" borderId="0" xfId="1" applyFont="1"/>
    <xf numFmtId="0" fontId="0" fillId="3" borderId="6" xfId="0" applyFill="1" applyBorder="1"/>
    <xf numFmtId="0" fontId="0" fillId="3" borderId="8" xfId="0" applyFill="1" applyBorder="1"/>
    <xf numFmtId="0" fontId="0" fillId="3" borderId="10" xfId="0" applyFill="1" applyBorder="1"/>
    <xf numFmtId="0" fontId="0" fillId="3" borderId="9" xfId="0" applyFill="1" applyBorder="1"/>
    <xf numFmtId="0" fontId="0" fillId="3" borderId="12" xfId="0" applyFill="1" applyBorder="1"/>
    <xf numFmtId="0" fontId="0" fillId="3" borderId="13" xfId="0" applyFill="1" applyBorder="1"/>
    <xf numFmtId="0" fontId="0" fillId="4" borderId="8" xfId="0" applyFill="1" applyBorder="1"/>
    <xf numFmtId="44" fontId="0" fillId="4" borderId="8" xfId="1" applyFont="1" applyFill="1" applyBorder="1" applyAlignment="1">
      <alignment horizontal="left"/>
    </xf>
    <xf numFmtId="49" fontId="0" fillId="4" borderId="8" xfId="1" applyNumberFormat="1" applyFont="1" applyFill="1" applyBorder="1" applyAlignment="1">
      <alignment horizontal="left" indent="1"/>
    </xf>
    <xf numFmtId="164" fontId="0" fillId="4" borderId="8" xfId="0" applyNumberFormat="1" applyFill="1" applyBorder="1"/>
    <xf numFmtId="49" fontId="0" fillId="4" borderId="12" xfId="1" applyNumberFormat="1" applyFont="1" applyFill="1" applyBorder="1" applyAlignment="1">
      <alignment horizontal="left" indent="1"/>
    </xf>
    <xf numFmtId="0" fontId="0" fillId="2" borderId="8" xfId="0" applyFill="1" applyBorder="1"/>
    <xf numFmtId="0" fontId="0" fillId="2" borderId="12" xfId="0" applyFill="1" applyBorder="1"/>
    <xf numFmtId="0" fontId="0" fillId="5" borderId="8" xfId="0" applyFill="1" applyBorder="1"/>
    <xf numFmtId="0" fontId="0" fillId="5" borderId="12" xfId="0" applyFill="1" applyBorder="1"/>
    <xf numFmtId="0" fontId="0" fillId="5" borderId="13" xfId="0" applyFill="1" applyBorder="1"/>
    <xf numFmtId="0" fontId="0" fillId="5" borderId="14" xfId="0" applyFill="1" applyBorder="1"/>
    <xf numFmtId="0" fontId="0" fillId="5" borderId="6" xfId="0" applyFill="1" applyBorder="1"/>
    <xf numFmtId="0" fontId="0" fillId="5" borderId="15" xfId="0" applyFill="1" applyBorder="1"/>
    <xf numFmtId="0" fontId="0" fillId="5" borderId="9" xfId="0" applyFill="1" applyBorder="1"/>
    <xf numFmtId="0" fontId="0" fillId="6" borderId="15" xfId="0" applyFill="1" applyBorder="1"/>
    <xf numFmtId="0" fontId="0" fillId="6" borderId="16" xfId="0" applyFill="1" applyBorder="1"/>
    <xf numFmtId="0" fontId="0" fillId="6" borderId="8" xfId="0" applyFill="1" applyBorder="1"/>
    <xf numFmtId="0" fontId="0" fillId="6" borderId="9" xfId="0" applyFill="1" applyBorder="1"/>
    <xf numFmtId="49" fontId="0" fillId="6" borderId="8" xfId="0" applyNumberFormat="1" applyFill="1" applyBorder="1"/>
    <xf numFmtId="0" fontId="0" fillId="6" borderId="12" xfId="0" applyFill="1" applyBorder="1"/>
    <xf numFmtId="0" fontId="0" fillId="6" borderId="14" xfId="0" applyFill="1" applyBorder="1"/>
    <xf numFmtId="0" fontId="0" fillId="2" borderId="8" xfId="0" applyFill="1" applyBorder="1" applyAlignment="1">
      <alignment horizontal="left" indent="1"/>
    </xf>
    <xf numFmtId="44" fontId="0" fillId="4" borderId="9" xfId="1" applyFont="1" applyFill="1" applyBorder="1"/>
    <xf numFmtId="49" fontId="0" fillId="0" borderId="0" xfId="1" applyNumberFormat="1" applyFont="1" applyAlignment="1">
      <alignment horizontal="left" indent="1"/>
    </xf>
    <xf numFmtId="44" fontId="0" fillId="4" borderId="14" xfId="1" applyFont="1" applyFill="1" applyBorder="1"/>
    <xf numFmtId="0" fontId="0" fillId="7" borderId="15" xfId="0" applyFill="1" applyBorder="1"/>
    <xf numFmtId="0" fontId="0" fillId="7" borderId="8" xfId="0" applyFill="1" applyBorder="1" applyAlignment="1">
      <alignment horizontal="left" indent="1"/>
    </xf>
    <xf numFmtId="0" fontId="0" fillId="7" borderId="12" xfId="0" applyFill="1" applyBorder="1"/>
    <xf numFmtId="0" fontId="0" fillId="7" borderId="6" xfId="0" applyFill="1" applyBorder="1" applyAlignment="1">
      <alignment horizontal="left" indent="1"/>
    </xf>
    <xf numFmtId="0" fontId="0" fillId="3" borderId="20" xfId="0" applyFill="1" applyBorder="1"/>
    <xf numFmtId="0" fontId="0" fillId="3" borderId="22" xfId="0" applyFill="1" applyBorder="1"/>
    <xf numFmtId="0" fontId="0" fillId="7" borderId="9" xfId="0" applyFill="1" applyBorder="1" applyAlignment="1">
      <alignment horizontal="left" indent="1"/>
    </xf>
    <xf numFmtId="0" fontId="0" fillId="7" borderId="14" xfId="0" applyFill="1" applyBorder="1" applyAlignment="1">
      <alignment horizontal="left" indent="1"/>
    </xf>
    <xf numFmtId="0" fontId="3" fillId="2" borderId="15" xfId="0" applyFont="1" applyFill="1" applyBorder="1"/>
    <xf numFmtId="0" fontId="3" fillId="2" borderId="8" xfId="0" applyFont="1" applyFill="1" applyBorder="1"/>
    <xf numFmtId="0" fontId="4" fillId="4" borderId="15" xfId="0" applyFont="1" applyFill="1" applyBorder="1"/>
    <xf numFmtId="0" fontId="4" fillId="4" borderId="16" xfId="0" applyFont="1" applyFill="1" applyBorder="1"/>
    <xf numFmtId="0" fontId="4" fillId="7" borderId="17" xfId="0" applyFont="1" applyFill="1" applyBorder="1"/>
    <xf numFmtId="0" fontId="4" fillId="7" borderId="16" xfId="0" applyFont="1" applyFill="1" applyBorder="1" applyAlignment="1">
      <alignment horizontal="center"/>
    </xf>
    <xf numFmtId="0" fontId="4" fillId="3" borderId="7" xfId="0" applyFont="1" applyFill="1" applyBorder="1" applyAlignment="1">
      <alignment horizontal="center"/>
    </xf>
    <xf numFmtId="0" fontId="4" fillId="3" borderId="11" xfId="0" applyFont="1" applyFill="1" applyBorder="1" applyAlignment="1">
      <alignment horizontal="center"/>
    </xf>
    <xf numFmtId="0" fontId="4" fillId="5" borderId="17" xfId="0" applyFont="1" applyFill="1" applyBorder="1" applyAlignment="1">
      <alignment horizontal="center"/>
    </xf>
    <xf numFmtId="0" fontId="4" fillId="5" borderId="16" xfId="0" applyFont="1" applyFill="1" applyBorder="1" applyAlignment="1">
      <alignment horizontal="center"/>
    </xf>
    <xf numFmtId="44" fontId="4" fillId="4" borderId="16" xfId="1" applyFont="1" applyFill="1" applyBorder="1"/>
    <xf numFmtId="44" fontId="0" fillId="8" borderId="0" xfId="0" applyNumberFormat="1" applyFill="1"/>
    <xf numFmtId="0" fontId="2" fillId="0" borderId="0" xfId="0" applyFont="1"/>
    <xf numFmtId="9" fontId="0" fillId="8" borderId="0" xfId="0" applyNumberFormat="1" applyFill="1"/>
    <xf numFmtId="44" fontId="0" fillId="9" borderId="0" xfId="0" applyNumberFormat="1" applyFill="1"/>
    <xf numFmtId="44" fontId="0" fillId="6" borderId="0" xfId="0" applyNumberFormat="1" applyFill="1"/>
    <xf numFmtId="1" fontId="0" fillId="9" borderId="0" xfId="0" applyNumberFormat="1" applyFill="1"/>
    <xf numFmtId="9" fontId="0" fillId="8" borderId="0" xfId="2" applyFont="1" applyFill="1"/>
    <xf numFmtId="9" fontId="0" fillId="0" borderId="0" xfId="2" applyFont="1"/>
    <xf numFmtId="44" fontId="0" fillId="6" borderId="0" xfId="1" applyFont="1" applyFill="1"/>
    <xf numFmtId="0" fontId="0" fillId="0" borderId="0" xfId="0" applyAlignment="1">
      <alignment horizontal="left" indent="1"/>
    </xf>
    <xf numFmtId="0" fontId="3" fillId="0" borderId="0" xfId="0" applyFont="1"/>
    <xf numFmtId="0" fontId="4" fillId="0" borderId="0" xfId="0" applyFont="1"/>
    <xf numFmtId="0" fontId="0" fillId="0" borderId="0" xfId="0" applyAlignment="1">
      <alignment wrapText="1"/>
    </xf>
    <xf numFmtId="0" fontId="0" fillId="0" borderId="0" xfId="0" applyAlignment="1">
      <alignment horizontal="center"/>
    </xf>
    <xf numFmtId="0" fontId="4" fillId="0" borderId="0" xfId="0" applyFont="1" applyAlignment="1">
      <alignment horizontal="center"/>
    </xf>
    <xf numFmtId="0" fontId="0" fillId="0" borderId="23" xfId="0" applyBorder="1"/>
    <xf numFmtId="0" fontId="0" fillId="0" borderId="0" xfId="0" applyAlignment="1">
      <alignment horizontal="right"/>
    </xf>
    <xf numFmtId="0" fontId="6" fillId="0" borderId="0" xfId="0" applyFont="1"/>
    <xf numFmtId="0" fontId="7" fillId="0" borderId="0" xfId="0" applyFont="1"/>
    <xf numFmtId="44" fontId="0" fillId="2" borderId="9" xfId="1" applyFont="1" applyFill="1" applyBorder="1" applyAlignment="1">
      <alignment horizontal="left" indent="1"/>
    </xf>
    <xf numFmtId="44" fontId="0" fillId="2" borderId="9" xfId="0" applyNumberFormat="1" applyFill="1" applyBorder="1" applyAlignment="1">
      <alignment horizontal="left" indent="1"/>
    </xf>
    <xf numFmtId="44" fontId="0" fillId="0" borderId="0" xfId="0" applyNumberFormat="1"/>
    <xf numFmtId="44" fontId="4" fillId="2" borderId="16" xfId="0" applyNumberFormat="1" applyFont="1" applyFill="1" applyBorder="1"/>
    <xf numFmtId="44" fontId="4" fillId="2" borderId="9" xfId="0" applyNumberFormat="1" applyFont="1" applyFill="1" applyBorder="1" applyAlignment="1">
      <alignment horizontal="left" indent="1"/>
    </xf>
    <xf numFmtId="10" fontId="0" fillId="2" borderId="14" xfId="0" applyNumberFormat="1" applyFill="1" applyBorder="1" applyAlignment="1">
      <alignment horizontal="left" indent="1"/>
    </xf>
    <xf numFmtId="2" fontId="0" fillId="2" borderId="9" xfId="0" applyNumberFormat="1" applyFill="1" applyBorder="1" applyAlignment="1">
      <alignment horizontal="right" indent="1"/>
    </xf>
    <xf numFmtId="2" fontId="0" fillId="4" borderId="9" xfId="1" applyNumberFormat="1" applyFont="1" applyFill="1" applyBorder="1"/>
    <xf numFmtId="44" fontId="0" fillId="3" borderId="6" xfId="0" applyNumberFormat="1" applyFill="1" applyBorder="1"/>
    <xf numFmtId="44" fontId="0" fillId="3" borderId="9" xfId="0" applyNumberFormat="1" applyFill="1" applyBorder="1"/>
    <xf numFmtId="44" fontId="4" fillId="3" borderId="7" xfId="0" applyNumberFormat="1" applyFont="1" applyFill="1" applyBorder="1" applyAlignment="1">
      <alignment horizontal="center"/>
    </xf>
    <xf numFmtId="44" fontId="0" fillId="3" borderId="13" xfId="0" applyNumberFormat="1" applyFill="1" applyBorder="1"/>
    <xf numFmtId="10" fontId="0" fillId="3" borderId="14" xfId="0" applyNumberFormat="1" applyFill="1" applyBorder="1"/>
    <xf numFmtId="10" fontId="0" fillId="3" borderId="9" xfId="0" applyNumberFormat="1" applyFill="1" applyBorder="1"/>
    <xf numFmtId="44" fontId="0" fillId="5" borderId="6" xfId="0" applyNumberFormat="1" applyFill="1" applyBorder="1"/>
    <xf numFmtId="2" fontId="0" fillId="5" borderId="6" xfId="0" applyNumberFormat="1" applyFill="1" applyBorder="1"/>
    <xf numFmtId="44" fontId="0" fillId="5" borderId="9" xfId="0" applyNumberFormat="1" applyFill="1" applyBorder="1"/>
    <xf numFmtId="2" fontId="0" fillId="5" borderId="9" xfId="0" applyNumberFormat="1" applyFill="1" applyBorder="1"/>
    <xf numFmtId="44" fontId="0" fillId="7" borderId="13" xfId="0" applyNumberFormat="1" applyFill="1" applyBorder="1" applyAlignment="1">
      <alignment horizontal="left" indent="1"/>
    </xf>
    <xf numFmtId="44" fontId="0" fillId="7" borderId="14" xfId="0" applyNumberFormat="1" applyFill="1" applyBorder="1" applyAlignment="1">
      <alignment horizontal="left" indent="1"/>
    </xf>
    <xf numFmtId="44" fontId="0" fillId="7" borderId="13" xfId="1" applyFont="1" applyFill="1" applyBorder="1" applyAlignment="1">
      <alignment horizontal="left" indent="1"/>
    </xf>
    <xf numFmtId="0" fontId="0" fillId="5" borderId="1" xfId="0" applyFill="1" applyBorder="1" applyAlignment="1">
      <alignment horizontal="center"/>
    </xf>
    <xf numFmtId="0" fontId="0" fillId="5" borderId="5" xfId="0" applyFill="1" applyBorder="1" applyAlignment="1">
      <alignment horizontal="center"/>
    </xf>
    <xf numFmtId="0" fontId="0" fillId="5" borderId="2" xfId="0" applyFill="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0" fontId="0" fillId="3" borderId="1" xfId="0" applyFill="1" applyBorder="1" applyAlignment="1">
      <alignment horizontal="center"/>
    </xf>
    <xf numFmtId="0" fontId="0" fillId="3" borderId="5"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0" fillId="3" borderId="4" xfId="0" applyFill="1" applyBorder="1" applyAlignment="1">
      <alignment horizontal="center"/>
    </xf>
    <xf numFmtId="0" fontId="0" fillId="3" borderId="21" xfId="0" applyFill="1" applyBorder="1" applyAlignment="1">
      <alignment horizontal="center"/>
    </xf>
    <xf numFmtId="0" fontId="0" fillId="3" borderId="20" xfId="0" applyFill="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CCCCFF"/>
      <color rgb="FFFF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145032</xdr:colOff>
      <xdr:row>1</xdr:row>
      <xdr:rowOff>12159</xdr:rowOff>
    </xdr:from>
    <xdr:to>
      <xdr:col>8</xdr:col>
      <xdr:colOff>594145</xdr:colOff>
      <xdr:row>35</xdr:row>
      <xdr:rowOff>95849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45032" y="197867"/>
          <a:ext cx="5337415" cy="639774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a:solidFill>
                <a:schemeClr val="dk1"/>
              </a:solidFill>
              <a:latin typeface="+mn-lt"/>
              <a:ea typeface="+mn-ea"/>
              <a:cs typeface="+mn-cs"/>
            </a:rPr>
            <a:t> </a:t>
          </a:r>
          <a:r>
            <a:rPr lang="en-US" sz="1100" b="1" u="sng">
              <a:solidFill>
                <a:schemeClr val="dk1"/>
              </a:solidFill>
              <a:latin typeface="+mn-lt"/>
              <a:ea typeface="+mn-ea"/>
              <a:cs typeface="+mn-cs"/>
            </a:rPr>
            <a:t>CVP Modeling</a:t>
          </a:r>
          <a:r>
            <a:rPr lang="en-US" sz="1100" b="1" u="sng" baseline="0">
              <a:solidFill>
                <a:schemeClr val="dk1"/>
              </a:solidFill>
              <a:latin typeface="+mn-lt"/>
              <a:ea typeface="+mn-ea"/>
              <a:cs typeface="+mn-cs"/>
            </a:rPr>
            <a:t> Assignment</a:t>
          </a:r>
        </a:p>
        <a:p>
          <a:endParaRPr lang="en-US" sz="1100" b="0" u="none" baseline="0">
            <a:solidFill>
              <a:schemeClr val="dk1"/>
            </a:solidFill>
            <a:latin typeface="+mn-lt"/>
            <a:ea typeface="+mn-ea"/>
            <a:cs typeface="+mn-cs"/>
          </a:endParaRPr>
        </a:p>
        <a:p>
          <a:r>
            <a:rPr lang="en-US" sz="1100" b="0" u="none" baseline="0">
              <a:solidFill>
                <a:schemeClr val="dk1"/>
              </a:solidFill>
              <a:latin typeface="+mn-lt"/>
              <a:ea typeface="+mn-ea"/>
              <a:cs typeface="+mn-cs"/>
            </a:rPr>
            <a:t>The purpose of this project is to give you experience creating a multiproduct profitability analysis that can be used to determine the effects of changing business conditions on the company's financial position.   Your goal will be to use Excel in such a way that any changes to the assumptions will correctly ripple through the entire profitability analysis.  If executed properly, the client should be able to use this spreadsheet over and over, using different "what if" assumptions.</a:t>
          </a:r>
        </a:p>
        <a:p>
          <a:endParaRPr lang="en-US" sz="1100" b="1" u="sng">
            <a:solidFill>
              <a:schemeClr val="dk1"/>
            </a:solidFill>
            <a:latin typeface="+mn-lt"/>
            <a:ea typeface="+mn-ea"/>
            <a:cs typeface="+mn-cs"/>
          </a:endParaRPr>
        </a:p>
        <a:p>
          <a:endParaRPr lang="en-US" sz="1100" b="1" u="sng">
            <a:solidFill>
              <a:schemeClr val="dk1"/>
            </a:solidFill>
            <a:latin typeface="+mn-lt"/>
            <a:ea typeface="+mn-ea"/>
            <a:cs typeface="+mn-cs"/>
          </a:endParaRPr>
        </a:p>
        <a:p>
          <a:r>
            <a:rPr lang="en-US" sz="1100" b="1" u="sng">
              <a:solidFill>
                <a:schemeClr val="dk1"/>
              </a:solidFill>
              <a:latin typeface="+mn-lt"/>
              <a:ea typeface="+mn-ea"/>
              <a:cs typeface="+mn-cs"/>
            </a:rPr>
            <a:t>Business</a:t>
          </a:r>
          <a:r>
            <a:rPr lang="en-US" sz="1100" b="1" u="sng" baseline="0">
              <a:solidFill>
                <a:schemeClr val="dk1"/>
              </a:solidFill>
              <a:latin typeface="+mn-lt"/>
              <a:ea typeface="+mn-ea"/>
              <a:cs typeface="+mn-cs"/>
            </a:rPr>
            <a:t> Description</a:t>
          </a:r>
        </a:p>
        <a:p>
          <a:endParaRPr lang="en-US" sz="1100" baseline="0">
            <a:solidFill>
              <a:schemeClr val="dk1"/>
            </a:solidFill>
            <a:latin typeface="+mn-lt"/>
            <a:ea typeface="+mn-ea"/>
            <a:cs typeface="+mn-cs"/>
          </a:endParaRPr>
        </a:p>
        <a:p>
          <a:r>
            <a:rPr lang="en-US" sz="1100">
              <a:solidFill>
                <a:schemeClr val="dk1"/>
              </a:solidFill>
              <a:latin typeface="+mn-lt"/>
              <a:ea typeface="+mn-ea"/>
              <a:cs typeface="+mn-cs"/>
            </a:rPr>
            <a:t>After taking business classes</a:t>
          </a:r>
          <a:r>
            <a:rPr lang="en-US" sz="1100" baseline="0">
              <a:solidFill>
                <a:schemeClr val="dk1"/>
              </a:solidFill>
              <a:latin typeface="+mn-lt"/>
              <a:ea typeface="+mn-ea"/>
              <a:cs typeface="+mn-cs"/>
            </a:rPr>
            <a:t> at Rutgers</a:t>
          </a:r>
          <a:r>
            <a:rPr lang="en-US" sz="1100">
              <a:solidFill>
                <a:schemeClr val="dk1"/>
              </a:solidFill>
              <a:latin typeface="+mn-lt"/>
              <a:ea typeface="+mn-ea"/>
              <a:cs typeface="+mn-cs"/>
            </a:rPr>
            <a:t>, Sir Henry, the</a:t>
          </a:r>
          <a:r>
            <a:rPr lang="en-US" sz="1100" baseline="0">
              <a:solidFill>
                <a:schemeClr val="dk1"/>
              </a:solidFill>
              <a:latin typeface="+mn-lt"/>
              <a:ea typeface="+mn-ea"/>
              <a:cs typeface="+mn-cs"/>
            </a:rPr>
            <a:t> Scarlet Knight</a:t>
          </a:r>
          <a:r>
            <a:rPr lang="en-US" sz="1100">
              <a:solidFill>
                <a:schemeClr val="dk1"/>
              </a:solidFill>
              <a:latin typeface="+mn-lt"/>
              <a:ea typeface="+mn-ea"/>
              <a:cs typeface="+mn-cs"/>
            </a:rPr>
            <a:t>, an avid dog-lover, decided to start selling unique</a:t>
          </a:r>
          <a:r>
            <a:rPr lang="en-US" sz="1100" baseline="0">
              <a:solidFill>
                <a:schemeClr val="dk1"/>
              </a:solidFill>
              <a:latin typeface="+mn-lt"/>
              <a:ea typeface="+mn-ea"/>
              <a:cs typeface="+mn-cs"/>
            </a:rPr>
            <a:t> pet supplies at trade shows.  He has two products: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Product 1:   "Launch-it"-   a tennis ball thrower that will sell for $10.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Product 2:  "Treat-time"- an automatic  treat dispenser that releases a treat when the dog places his paw on the pedal.   The treat dispenser will sell for $30.</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Costs:    Sir Henry has hired an employee to work the trade show booths.   The work contract is $1,000 per month plus a commission equal to 10% of revenue.   Henry will also spend $500 per month on trade-show entry fees. Henry is purchasing the products from a supplier in Mexico.    Launch-its cost $1 each;   Treat-times cost $7 each.     Shipping and handling on the Launch-its will cost $2 each; Shipping and handling on the Treat-times, which are heavier, will cost $8 each.  The shipping and handling costs will be paid by Henry, not the customer.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Assume Henry expects to sell 200 Launch-its and 100 Treat-times during his first month of operations (June).</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Henry's financial goal is to earn an operating income of $8,000 per month.    He believes volume may grow at a rate of 5%  a month.</a:t>
          </a:r>
        </a:p>
        <a:p>
          <a:r>
            <a:rPr lang="en-US" sz="1100">
              <a:solidFill>
                <a:schemeClr val="dk1"/>
              </a:solidFill>
              <a:latin typeface="+mn-lt"/>
              <a:ea typeface="+mn-ea"/>
              <a:cs typeface="+mn-cs"/>
            </a:rPr>
            <a:t> </a:t>
          </a: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endParaRPr lang="en-US" sz="1100"/>
        </a:p>
      </xdr:txBody>
    </xdr:sp>
    <xdr:clientData/>
  </xdr:twoCellAnchor>
  <xdr:twoCellAnchor>
    <xdr:from>
      <xdr:col>11</xdr:col>
      <xdr:colOff>143932</xdr:colOff>
      <xdr:row>0</xdr:row>
      <xdr:rowOff>135463</xdr:rowOff>
    </xdr:from>
    <xdr:to>
      <xdr:col>22</xdr:col>
      <xdr:colOff>538691</xdr:colOff>
      <xdr:row>66</xdr:row>
      <xdr:rowOff>110435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825236" y="135463"/>
          <a:ext cx="7076064" cy="120013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u="sng"/>
            <a:t>Directions </a:t>
          </a:r>
        </a:p>
        <a:p>
          <a:endParaRPr lang="en-US" sz="1100"/>
        </a:p>
        <a:p>
          <a:r>
            <a:rPr lang="en-US" sz="1100"/>
            <a:t>Based</a:t>
          </a:r>
          <a:r>
            <a:rPr lang="en-US" sz="1100" baseline="0"/>
            <a:t> on your experience in accounting classes, y</a:t>
          </a:r>
          <a:r>
            <a:rPr lang="en-US" sz="1100"/>
            <a:t>ou have been hired by Sir</a:t>
          </a:r>
          <a:r>
            <a:rPr lang="en-US" sz="1100" baseline="0"/>
            <a:t> Henry</a:t>
          </a:r>
          <a:r>
            <a:rPr lang="en-US" sz="1100"/>
            <a:t> to</a:t>
          </a:r>
          <a:r>
            <a:rPr lang="en-US" sz="1100" baseline="0"/>
            <a:t> build a CVP model that will help him understand the impact of business conditions on his operating income.  (See "Starting File" worksheet.) In your model, all of the original assumptions will be listed in one area of the spreadsheet (blue box).   All other calculations in the model will reference the assumptions (blue box) such that if any assumption changes, the effect will ripple through the entire model.    To accomplish this goal, you will use FORMULAs, rather than numbers, in every  other cell in the worksheet.  In other words, the only place you will type numbers is the blue assumptions box.</a:t>
          </a:r>
        </a:p>
        <a:p>
          <a:endParaRPr lang="en-US" sz="1100" baseline="0"/>
        </a:p>
        <a:p>
          <a:r>
            <a:rPr lang="en-US" sz="1100" baseline="0"/>
            <a:t>You can work with others in the class but everyone must complete their own file.</a:t>
          </a:r>
        </a:p>
        <a:p>
          <a:endParaRPr lang="en-US" sz="1100" baseline="0"/>
        </a:p>
        <a:p>
          <a:r>
            <a:rPr lang="en-US" sz="1100" b="1" baseline="0"/>
            <a:t>FIRST TASK:   Rename your worksheet adding your name to the file name.</a:t>
          </a:r>
        </a:p>
        <a:p>
          <a:endParaRPr lang="en-US" sz="1100" u="sng"/>
        </a:p>
        <a:p>
          <a:r>
            <a:rPr lang="en-US" sz="1100" b="1" u="sng"/>
            <a:t>FORMATTING </a:t>
          </a:r>
          <a:r>
            <a:rPr lang="en-US" sz="1100" b="1" u="sng" baseline="0"/>
            <a:t> conventions to use throughout project</a:t>
          </a:r>
          <a:r>
            <a:rPr lang="en-US" sz="1100" b="1" u="sng"/>
            <a:t>:</a:t>
          </a:r>
        </a:p>
        <a:p>
          <a:r>
            <a:rPr lang="en-US" sz="1100" u="none"/>
            <a:t>- Round all UNITS</a:t>
          </a:r>
          <a:r>
            <a:rPr lang="en-US" sz="1100" u="none" baseline="0"/>
            <a:t> to the nearest whole unit.   Use the "decrease decimals" button on your tool bar rather than the Rounding function.</a:t>
          </a:r>
        </a:p>
        <a:p>
          <a:r>
            <a:rPr lang="en-US" sz="1100" u="none" baseline="0"/>
            <a:t>- Show all MONETARY amounts as dollars and cents.  Round to the nearest cent. </a:t>
          </a:r>
          <a:r>
            <a:rPr lang="en-US" sz="1100" u="none" baseline="0">
              <a:solidFill>
                <a:schemeClr val="dk1"/>
              </a:solidFill>
              <a:effectLst/>
              <a:latin typeface="+mn-lt"/>
              <a:ea typeface="+mn-ea"/>
              <a:cs typeface="+mn-cs"/>
            </a:rPr>
            <a:t>($x.xx).  Use the "decrease decimals" button rather than the rounding function.</a:t>
          </a:r>
          <a:endParaRPr lang="en-US" sz="1100" u="none" baseline="0"/>
        </a:p>
        <a:p>
          <a:r>
            <a:rPr lang="en-US" sz="1100" u="none" baseline="0"/>
            <a:t>- Show all percentages as %, not as decimals.   (x%, not .xx)</a:t>
          </a:r>
        </a:p>
        <a:p>
          <a:r>
            <a:rPr lang="en-US" sz="1100" u="none" baseline="0"/>
            <a:t>- Right justify all cells   (numbers should be to the right side of the cell, not in the middle or left)</a:t>
          </a:r>
        </a:p>
        <a:p>
          <a:endParaRPr lang="en-US" sz="1100" u="none"/>
        </a:p>
        <a:p>
          <a:endParaRPr lang="en-US" sz="1100"/>
        </a:p>
        <a:p>
          <a:r>
            <a:rPr lang="en-US" sz="1100"/>
            <a:t>1) Complete the assumptions (blue box) based on the  data </a:t>
          </a:r>
          <a:r>
            <a:rPr lang="en-US" sz="1100" baseline="0"/>
            <a:t> about Sir Henry's business. Identify and list all variable  costs </a:t>
          </a:r>
          <a:r>
            <a:rPr lang="en-US" sz="1100" b="1" baseline="0"/>
            <a:t>separately</a:t>
          </a:r>
          <a:r>
            <a:rPr lang="en-US" sz="1100" baseline="0"/>
            <a:t> and all fixed costs </a:t>
          </a:r>
          <a:r>
            <a:rPr lang="en-US" sz="1100" b="1" i="0" baseline="0"/>
            <a:t>separately </a:t>
          </a:r>
          <a:r>
            <a:rPr lang="en-US" sz="1100" baseline="0"/>
            <a:t>before finding the total for each type of cost.  </a:t>
          </a:r>
        </a:p>
        <a:p>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sz="1100"/>
            <a:t>2)</a:t>
          </a:r>
          <a:r>
            <a:rPr lang="en-US" sz="1100" baseline="0"/>
            <a:t> Complete the Product Analysis (yellow boxes) assuming Cooper ONLY sells either Product #1 (Launch-its) OR  Product #2  (Treat -times).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rgbClr val="FF0000"/>
              </a:solidFill>
            </a:rPr>
            <a:t>Check figures</a:t>
          </a:r>
          <a:r>
            <a:rPr lang="en-US" sz="1100" baseline="0"/>
            <a:t>:    B/E Product #1 =  250 units;   B/E Product #2= 125 units</a:t>
          </a:r>
        </a:p>
        <a:p>
          <a:endParaRPr lang="en-US" sz="1100" baseline="0"/>
        </a:p>
        <a:p>
          <a:pPr eaLnBrk="1" fontAlgn="auto" latinLnBrk="0" hangingPunct="1"/>
          <a:r>
            <a:rPr lang="en-US" sz="1100" baseline="0"/>
            <a:t>3) Complete the pro forma CM Income Statement for the month of June (green box).  </a:t>
          </a:r>
          <a:r>
            <a:rPr lang="en-US" sz="1100" b="1" baseline="0"/>
            <a:t>HINT:</a:t>
          </a:r>
          <a:r>
            <a:rPr lang="en-US" sz="1100" baseline="0"/>
            <a:t>   On product line income statements such as this, the fixed costs are only listed in the total column.   Make sure you also show the totals for all other line items.  </a:t>
          </a:r>
          <a:r>
            <a:rPr lang="en-US" sz="1100" baseline="0">
              <a:solidFill>
                <a:schemeClr val="dk1"/>
              </a:solidFill>
              <a:effectLst/>
              <a:latin typeface="+mn-lt"/>
              <a:ea typeface="+mn-ea"/>
              <a:cs typeface="+mn-cs"/>
            </a:rPr>
            <a:t>Finally,  calculate the overall WACM%  for the company.</a:t>
          </a:r>
          <a:endParaRPr lang="en-US" sz="1100" baseline="0"/>
        </a:p>
        <a:p>
          <a:pPr eaLnBrk="1" fontAlgn="auto" latinLnBrk="0" hangingPunct="1"/>
          <a:endParaRPr lang="en-US" sz="1100" baseline="0"/>
        </a:p>
        <a:p>
          <a:r>
            <a:rPr lang="en-US" sz="1100" baseline="0">
              <a:solidFill>
                <a:srgbClr val="FF0000"/>
              </a:solidFill>
            </a:rPr>
            <a:t>Check figure:  </a:t>
          </a:r>
          <a:r>
            <a:rPr lang="en-US" sz="1100" baseline="0"/>
            <a:t>Operating income = $900   WACM% =  48%</a:t>
          </a:r>
        </a:p>
        <a:p>
          <a:endParaRPr lang="en-US" sz="1100" baseline="0"/>
        </a:p>
        <a:p>
          <a:r>
            <a:rPr lang="en-US" sz="1100" baseline="0"/>
            <a:t>4) Calculate the weighted average contribution margin (WACM) per unit (in orange box).</a:t>
          </a:r>
        </a:p>
        <a:p>
          <a:endParaRPr lang="en-US" sz="1100" baseline="0"/>
        </a:p>
        <a:p>
          <a:r>
            <a:rPr lang="en-US" sz="1100" baseline="0">
              <a:solidFill>
                <a:srgbClr val="FF0000"/>
              </a:solidFill>
            </a:rPr>
            <a:t>Check figure:   </a:t>
          </a:r>
          <a:r>
            <a:rPr lang="en-US" sz="1100" baseline="0"/>
            <a:t>WACM/unit = $8.00</a:t>
          </a:r>
        </a:p>
        <a:p>
          <a:endParaRPr lang="en-US" sz="1100" baseline="0"/>
        </a:p>
        <a:p>
          <a:r>
            <a:rPr lang="en-US" sz="1100" baseline="0"/>
            <a:t>5)  Use the WACM/unit  to calculate the TOTAL number of units needed to breakeven (TOTAL column in the first gray box).   THEN, calculate the  number  of EACH type of product needed to breakeven.   Finally,  calculate the sales revenue  associated with this volume for EACH product, and then the sales revenue to breakeven in total.</a:t>
          </a:r>
        </a:p>
        <a:p>
          <a:endParaRPr lang="en-US" sz="1100" baseline="0"/>
        </a:p>
        <a:p>
          <a:r>
            <a:rPr lang="en-US" sz="1100" baseline="0">
              <a:solidFill>
                <a:srgbClr val="FF0000"/>
              </a:solidFill>
            </a:rPr>
            <a:t>Check figures</a:t>
          </a:r>
          <a:r>
            <a:rPr lang="en-US" sz="1100" baseline="0"/>
            <a:t>:    B/E Product  #1 = 125;   B/E Product #2= 63</a:t>
          </a:r>
        </a:p>
        <a:p>
          <a:endParaRPr lang="en-US" sz="1100" baseline="0"/>
        </a:p>
        <a:p>
          <a:r>
            <a:rPr lang="en-US" sz="1100" baseline="0"/>
            <a:t>6)</a:t>
          </a:r>
          <a:r>
            <a:rPr lang="en-US" sz="1100" baseline="0">
              <a:solidFill>
                <a:schemeClr val="dk1"/>
              </a:solidFill>
              <a:latin typeface="+mn-lt"/>
              <a:ea typeface="+mn-ea"/>
              <a:cs typeface="+mn-cs"/>
            </a:rPr>
            <a:t>  Use the WACM/unit  to calculate the total number of units needed to achieve Henry's target profit (TOTAL column in the second gray box).   THEN, calculate the  number  of EACH type of product needed to achieve the target profit.   Finally,  calculate sales revenue  associated with this volume for EACH product, and then the sales revenue in total.</a:t>
          </a:r>
          <a:endParaRPr lang="en-US"/>
        </a:p>
        <a:p>
          <a:pPr fontAlgn="base"/>
          <a:endParaRPr lang="en-US" sz="1100" baseline="0">
            <a:solidFill>
              <a:schemeClr val="dk1"/>
            </a:solidFill>
            <a:latin typeface="+mn-lt"/>
            <a:ea typeface="+mn-ea"/>
            <a:cs typeface="+mn-cs"/>
          </a:endParaRPr>
        </a:p>
        <a:p>
          <a:r>
            <a:rPr lang="en-US" sz="1100" baseline="0">
              <a:solidFill>
                <a:srgbClr val="FF0000"/>
              </a:solidFill>
              <a:latin typeface="+mn-lt"/>
              <a:ea typeface="+mn-ea"/>
              <a:cs typeface="+mn-cs"/>
            </a:rPr>
            <a:t>Check figures</a:t>
          </a:r>
          <a:r>
            <a:rPr lang="en-US" sz="1100" baseline="0">
              <a:solidFill>
                <a:schemeClr val="dk1"/>
              </a:solidFill>
              <a:latin typeface="+mn-lt"/>
              <a:ea typeface="+mn-ea"/>
              <a:cs typeface="+mn-cs"/>
            </a:rPr>
            <a:t>:    B/E Product  #1 =792;   B/E Product #2= 396</a:t>
          </a:r>
          <a:endParaRPr lang="en-US"/>
        </a:p>
        <a:p>
          <a:endParaRPr lang="en-US" sz="1100" baseline="0"/>
        </a:p>
        <a:p>
          <a:r>
            <a:rPr lang="en-US" sz="1100" baseline="0"/>
            <a:t>7) Calculate the MOS using June sales as the expected sales (purple box).  Calculate the MOS in terms  of sales revenue and as a percentage.   Also calculate the current operating leverage factor  (round to the nearest 2 decimal places) and use it to determine the expected  percentage change in operating income stemming from an expected change in sales volume.     </a:t>
          </a:r>
        </a:p>
        <a:p>
          <a:endParaRPr lang="en-US" sz="1100" baseline="0"/>
        </a:p>
        <a:p>
          <a:r>
            <a:rPr lang="en-US" sz="1100" baseline="0">
              <a:solidFill>
                <a:srgbClr val="FF0000"/>
              </a:solidFill>
            </a:rPr>
            <a:t>Check figures:    </a:t>
          </a:r>
          <a:r>
            <a:rPr lang="en-US" sz="1100" baseline="0"/>
            <a:t>MOS%= 38%;   Operating leverage factor= 2.67</a:t>
          </a:r>
        </a:p>
        <a:p>
          <a:endParaRPr lang="en-US" sz="1100" baseline="0"/>
        </a:p>
        <a:p>
          <a:r>
            <a:rPr lang="en-US" sz="1100" baseline="0"/>
            <a:t>8)  Change name of worksheet to "Original Assumptions".</a:t>
          </a:r>
        </a:p>
        <a:p>
          <a:endParaRPr lang="en-US" sz="1100" baseline="0"/>
        </a:p>
        <a:p>
          <a:r>
            <a:rPr lang="en-US" sz="1100" baseline="0"/>
            <a:t>9) Make sure you have cleaned up your worksheet using the formatting conventions listed above.</a:t>
          </a:r>
        </a:p>
        <a:p>
          <a:endParaRPr lang="en-US" sz="1100" baseline="0"/>
        </a:p>
        <a:p>
          <a:r>
            <a:rPr lang="en-US" sz="1100" baseline="0"/>
            <a:t>10) Go to the "Advising  client" worksheet and follow the directions found there.</a:t>
          </a:r>
        </a:p>
        <a:p>
          <a:endParaRPr lang="en-US" sz="1100" baseline="0"/>
        </a:p>
        <a:p>
          <a:r>
            <a:rPr lang="en-US" sz="1100" baseline="0"/>
            <a:t>11) Check to make sure you have done everything on the grading rubric.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4</xdr:row>
      <xdr:rowOff>171450</xdr:rowOff>
    </xdr:from>
    <xdr:to>
      <xdr:col>8</xdr:col>
      <xdr:colOff>523875</xdr:colOff>
      <xdr:row>40</xdr:row>
      <xdr:rowOff>171450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00025" y="933450"/>
          <a:ext cx="5200650" cy="685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Once</a:t>
          </a:r>
          <a:r>
            <a:rPr lang="en-US" sz="1100" baseline="0"/>
            <a:t> you have built the model, use it to answer Henry's questions about his business.   </a:t>
          </a:r>
          <a:r>
            <a:rPr lang="en-US" sz="1100" b="1" baseline="0"/>
            <a:t>Treat each situation as a separate scenario.  All comparisons should be made to the original assumptions.</a:t>
          </a:r>
        </a:p>
        <a:p>
          <a:endParaRPr lang="en-US" sz="1100" baseline="0"/>
        </a:p>
        <a:p>
          <a:r>
            <a:rPr lang="en-US" sz="1100" baseline="0"/>
            <a:t>1.   Save a copy of your original model to a new spreadsheet called "supplier cost increase".  Say the supplier is expected to increase the cost of the products by 20%.    What is the new operating income? What is the new WACM%?    What is the new MOS%?   Briefly explain your findings.</a:t>
          </a:r>
        </a:p>
        <a:p>
          <a:endParaRPr lang="en-US" sz="1100" baseline="0"/>
        </a:p>
        <a:p>
          <a:endParaRPr lang="en-US" sz="1100" baseline="0"/>
        </a:p>
        <a:p>
          <a:endParaRPr lang="en-US" sz="1100" baseline="0"/>
        </a:p>
        <a:p>
          <a:endParaRPr lang="en-US" sz="1100" baseline="0"/>
        </a:p>
        <a:p>
          <a:endParaRPr lang="en-US" sz="1100" baseline="0"/>
        </a:p>
        <a:p>
          <a:r>
            <a:rPr lang="en-US" sz="1100" baseline="0"/>
            <a:t>2.   Save a copy of your original model to a new spreadsheet called "new sales mix".   Say the monthly sales volume is now expected to be 175 "Treat-times" and 125</a:t>
          </a:r>
        </a:p>
        <a:p>
          <a:r>
            <a:rPr lang="en-US" sz="1100" baseline="0"/>
            <a:t>"Launch-its"  (same total units, but a different sales mix).      What is the new operating income?    What is the new WACM/unit ?  Given this sales mix, how many units (in total) will Cooper need to sell to earn his target profit? </a:t>
          </a:r>
          <a:r>
            <a:rPr lang="en-US" sz="1100" baseline="0">
              <a:solidFill>
                <a:schemeClr val="dk1"/>
              </a:solidFill>
              <a:effectLst/>
              <a:latin typeface="+mn-lt"/>
              <a:ea typeface="+mn-ea"/>
              <a:cs typeface="+mn-cs"/>
            </a:rPr>
            <a:t>Briefly explain your findings.</a:t>
          </a:r>
          <a:endParaRPr lang="en-US" sz="1100" baseline="0"/>
        </a:p>
        <a:p>
          <a:endParaRPr lang="en-US" sz="1100" baseline="0"/>
        </a:p>
        <a:p>
          <a:endParaRPr lang="en-US" sz="1100" baseline="0"/>
        </a:p>
        <a:p>
          <a:endParaRPr lang="en-US" sz="1100" baseline="0"/>
        </a:p>
        <a:p>
          <a:endParaRPr lang="en-US" sz="1100" baseline="0"/>
        </a:p>
        <a:p>
          <a:endParaRPr lang="en-US" sz="1100" baseline="0"/>
        </a:p>
        <a:p>
          <a:pPr eaLnBrk="1" fontAlgn="auto" latinLnBrk="0" hangingPunct="1"/>
          <a:r>
            <a:rPr lang="en-US" sz="1100" baseline="0"/>
            <a:t>3</a:t>
          </a:r>
          <a:r>
            <a:rPr lang="en-US" sz="1100" baseline="0">
              <a:solidFill>
                <a:schemeClr val="dk1"/>
              </a:solidFill>
              <a:effectLst/>
              <a:latin typeface="+mn-lt"/>
              <a:ea typeface="+mn-ea"/>
              <a:cs typeface="+mn-cs"/>
            </a:rPr>
            <a:t>.   Save a copy of your original model to a new spreadsheet called "alternative contract".   Say Cooper's employee wanted to negotiate a different work contract:   $1,500 per month plus 5% of revenue.    Given his original sales volume and mix, how would this contract have changed Henry's operating income?  What is the new operating leverage factor?  What is the new expected percentage change in operating income if volume increases as expected in the future? Briefly explain your findings to the client.</a:t>
          </a:r>
          <a:endParaRPr lang="en-US">
            <a:effectLst/>
          </a:endParaRPr>
        </a:p>
        <a:p>
          <a:endParaRPr lang="en-US" sz="1100" baseline="0"/>
        </a:p>
      </xdr:txBody>
    </xdr:sp>
    <xdr:clientData/>
  </xdr:twoCellAnchor>
  <xdr:twoCellAnchor>
    <xdr:from>
      <xdr:col>14</xdr:col>
      <xdr:colOff>19050</xdr:colOff>
      <xdr:row>17</xdr:row>
      <xdr:rowOff>0</xdr:rowOff>
    </xdr:from>
    <xdr:to>
      <xdr:col>20</xdr:col>
      <xdr:colOff>590550</xdr:colOff>
      <xdr:row>23</xdr:row>
      <xdr:rowOff>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086975" y="3238500"/>
          <a:ext cx="4229100" cy="1143000"/>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Brief explanation:   </a:t>
          </a:r>
        </a:p>
      </xdr:txBody>
    </xdr:sp>
    <xdr:clientData/>
  </xdr:twoCellAnchor>
  <xdr:twoCellAnchor>
    <xdr:from>
      <xdr:col>13</xdr:col>
      <xdr:colOff>600075</xdr:colOff>
      <xdr:row>9</xdr:row>
      <xdr:rowOff>9525</xdr:rowOff>
    </xdr:from>
    <xdr:to>
      <xdr:col>20</xdr:col>
      <xdr:colOff>542925</xdr:colOff>
      <xdr:row>14</xdr:row>
      <xdr:rowOff>161925</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0058400" y="1724025"/>
          <a:ext cx="4210050" cy="1104900"/>
        </a:xfrm>
        <a:prstGeom prst="rect">
          <a:avLst/>
        </a:prstGeom>
        <a:solidFill>
          <a:srgbClr val="CC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Brief explanation:   </a:t>
          </a:r>
        </a:p>
      </xdr:txBody>
    </xdr:sp>
    <xdr:clientData/>
  </xdr:twoCellAnchor>
  <xdr:twoCellAnchor>
    <xdr:from>
      <xdr:col>13</xdr:col>
      <xdr:colOff>600075</xdr:colOff>
      <xdr:row>26</xdr:row>
      <xdr:rowOff>19050</xdr:rowOff>
    </xdr:from>
    <xdr:to>
      <xdr:col>20</xdr:col>
      <xdr:colOff>600075</xdr:colOff>
      <xdr:row>31</xdr:row>
      <xdr:rowOff>180975</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0058400" y="4972050"/>
          <a:ext cx="4267200" cy="1114425"/>
        </a:xfrm>
        <a:prstGeom prst="rect">
          <a:avLst/>
        </a:prstGeom>
        <a:solidFill>
          <a:srgbClr val="CC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Brief explanation:   </a:t>
          </a:r>
        </a:p>
      </xdr:txBody>
    </xdr:sp>
    <xdr:clientData/>
  </xdr:twoCellAnchor>
  <xdr:twoCellAnchor>
    <xdr:from>
      <xdr:col>12</xdr:col>
      <xdr:colOff>200025</xdr:colOff>
      <xdr:row>4</xdr:row>
      <xdr:rowOff>66675</xdr:rowOff>
    </xdr:from>
    <xdr:to>
      <xdr:col>20</xdr:col>
      <xdr:colOff>95250</xdr:colOff>
      <xdr:row>7</xdr:row>
      <xdr:rowOff>142875</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8839200" y="828675"/>
          <a:ext cx="498157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EXCEL</a:t>
          </a:r>
          <a:r>
            <a:rPr lang="en-US" sz="1100" baseline="0"/>
            <a:t> HINT:   To copy a cell from a different worksheet, put = in the cell where you want the number to go, and then go back to the original worksheet, put your cursor on the cell to select it, and then press enter.</a:t>
          </a:r>
          <a:endParaRPr lang="en-US" sz="1100"/>
        </a:p>
      </xdr:txBody>
    </xdr:sp>
    <xdr:clientData/>
  </xdr:twoCellAnchor>
  <xdr:twoCellAnchor>
    <xdr:from>
      <xdr:col>11</xdr:col>
      <xdr:colOff>361950</xdr:colOff>
      <xdr:row>6</xdr:row>
      <xdr:rowOff>28575</xdr:rowOff>
    </xdr:from>
    <xdr:to>
      <xdr:col>12</xdr:col>
      <xdr:colOff>123825</xdr:colOff>
      <xdr:row>7</xdr:row>
      <xdr:rowOff>171450</xdr:rowOff>
    </xdr:to>
    <xdr:cxnSp macro="">
      <xdr:nvCxnSpPr>
        <xdr:cNvPr id="7" name="Straight Arrow Connector 6">
          <a:extLst>
            <a:ext uri="{FF2B5EF4-FFF2-40B4-BE49-F238E27FC236}">
              <a16:creationId xmlns:a16="http://schemas.microsoft.com/office/drawing/2014/main" id="{00000000-0008-0000-0200-000007000000}"/>
            </a:ext>
          </a:extLst>
        </xdr:cNvPr>
        <xdr:cNvCxnSpPr/>
      </xdr:nvCxnSpPr>
      <xdr:spPr>
        <a:xfrm flipH="1">
          <a:off x="8229600" y="1171575"/>
          <a:ext cx="533400" cy="333375"/>
        </a:xfrm>
        <a:prstGeom prst="straightConnector1">
          <a:avLst/>
        </a:prstGeom>
        <a:ln w="19050">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190500</xdr:colOff>
      <xdr:row>0</xdr:row>
      <xdr:rowOff>152401</xdr:rowOff>
    </xdr:from>
    <xdr:to>
      <xdr:col>13</xdr:col>
      <xdr:colOff>485775</xdr:colOff>
      <xdr:row>4</xdr:row>
      <xdr:rowOff>19051</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5067300" y="152401"/>
          <a:ext cx="487680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EXCEL</a:t>
          </a:r>
          <a:r>
            <a:rPr lang="en-US" sz="1100" baseline="0"/>
            <a:t> HINT:   To copy an entire worksheet, right click on the worksheet tab at the bottom of the screen and choose "Move or Copy".  Then check the "create a copy" box.  Once you have the copy, choose "rename".</a:t>
          </a:r>
          <a:endParaRPr lang="en-US" sz="1100"/>
        </a:p>
      </xdr:txBody>
    </xdr:sp>
    <xdr:clientData/>
  </xdr:twoCellAnchor>
  <xdr:twoCellAnchor>
    <xdr:from>
      <xdr:col>7</xdr:col>
      <xdr:colOff>581025</xdr:colOff>
      <xdr:row>4</xdr:row>
      <xdr:rowOff>85725</xdr:rowOff>
    </xdr:from>
    <xdr:to>
      <xdr:col>9</xdr:col>
      <xdr:colOff>457201</xdr:colOff>
      <xdr:row>8</xdr:row>
      <xdr:rowOff>66675</xdr:rowOff>
    </xdr:to>
    <xdr:cxnSp macro="">
      <xdr:nvCxnSpPr>
        <xdr:cNvPr id="9" name="Straight Arrow Connector 8">
          <a:extLst>
            <a:ext uri="{FF2B5EF4-FFF2-40B4-BE49-F238E27FC236}">
              <a16:creationId xmlns:a16="http://schemas.microsoft.com/office/drawing/2014/main" id="{00000000-0008-0000-0200-000009000000}"/>
            </a:ext>
          </a:extLst>
        </xdr:cNvPr>
        <xdr:cNvCxnSpPr/>
      </xdr:nvCxnSpPr>
      <xdr:spPr>
        <a:xfrm flipH="1">
          <a:off x="4848225" y="847725"/>
          <a:ext cx="1095376" cy="742950"/>
        </a:xfrm>
        <a:prstGeom prst="straightConnector1">
          <a:avLst/>
        </a:prstGeom>
        <a:ln w="19050">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10" zoomScale="115" zoomScaleNormal="115" workbookViewId="0">
      <selection activeCell="J1" sqref="J1"/>
    </sheetView>
  </sheetViews>
  <sheetFormatPr defaultRowHeight="14.4" x14ac:dyDescent="0.3"/>
  <sheetData>
    <row r="1" spans="1:1" x14ac:dyDescent="0.3">
      <c r="A1" s="70"/>
    </row>
  </sheetData>
  <pageMargins left="0.45" right="0.4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40"/>
  <sheetViews>
    <sheetView tabSelected="1" zoomScaleNormal="100" workbookViewId="0">
      <selection activeCell="K31" sqref="K31"/>
    </sheetView>
  </sheetViews>
  <sheetFormatPr defaultRowHeight="14.4" x14ac:dyDescent="0.3"/>
  <cols>
    <col min="1" max="1" width="3.21875" customWidth="1"/>
    <col min="2" max="2" width="30.21875" customWidth="1"/>
    <col min="3" max="3" width="13.77734375" style="74" customWidth="1"/>
    <col min="4" max="4" width="6.77734375" customWidth="1"/>
    <col min="5" max="6" width="22" customWidth="1"/>
    <col min="7" max="7" width="6.5546875" customWidth="1"/>
    <col min="8" max="8" width="40" customWidth="1"/>
    <col min="9" max="9" width="16" customWidth="1"/>
    <col min="10" max="10" width="14.44140625" customWidth="1"/>
    <col min="11" max="11" width="16" customWidth="1"/>
  </cols>
  <sheetData>
    <row r="1" spans="2:11" ht="15" thickBot="1" x14ac:dyDescent="0.35">
      <c r="H1" t="s">
        <v>65</v>
      </c>
    </row>
    <row r="2" spans="2:11" ht="15" thickBot="1" x14ac:dyDescent="0.35">
      <c r="B2" s="96" t="s">
        <v>0</v>
      </c>
      <c r="C2" s="97"/>
      <c r="D2" s="1"/>
      <c r="E2" s="44" t="s">
        <v>4</v>
      </c>
      <c r="F2" s="45" t="s">
        <v>60</v>
      </c>
      <c r="H2" s="98" t="s">
        <v>64</v>
      </c>
      <c r="I2" s="99"/>
      <c r="J2" s="99"/>
      <c r="K2" s="100"/>
    </row>
    <row r="3" spans="2:11" x14ac:dyDescent="0.3">
      <c r="B3" s="42" t="s">
        <v>2</v>
      </c>
      <c r="C3" s="75" t="s">
        <v>60</v>
      </c>
      <c r="E3" s="9" t="s">
        <v>14</v>
      </c>
      <c r="F3" s="31">
        <f>C4-C9</f>
        <v>6</v>
      </c>
      <c r="H3" s="101" t="s">
        <v>27</v>
      </c>
      <c r="I3" s="102"/>
      <c r="J3" s="102"/>
      <c r="K3" s="103"/>
    </row>
    <row r="4" spans="2:11" x14ac:dyDescent="0.3">
      <c r="B4" s="14" t="s">
        <v>1</v>
      </c>
      <c r="C4" s="72">
        <v>10</v>
      </c>
      <c r="D4" s="2"/>
      <c r="E4" s="9" t="s">
        <v>9</v>
      </c>
      <c r="F4" s="79">
        <f>F3/C4</f>
        <v>0.6</v>
      </c>
      <c r="H4" s="101" t="s">
        <v>7</v>
      </c>
      <c r="I4" s="102"/>
      <c r="J4" s="102"/>
      <c r="K4" s="103"/>
    </row>
    <row r="5" spans="2:11" x14ac:dyDescent="0.3">
      <c r="B5" s="14" t="s">
        <v>15</v>
      </c>
      <c r="C5" s="73">
        <v>1</v>
      </c>
      <c r="D5" s="2"/>
      <c r="E5" s="10" t="s">
        <v>13</v>
      </c>
      <c r="F5" s="31"/>
      <c r="H5" s="104"/>
      <c r="I5" s="105"/>
      <c r="J5" s="38"/>
      <c r="K5" s="39"/>
    </row>
    <row r="6" spans="2:11" x14ac:dyDescent="0.3">
      <c r="B6" s="30" t="s">
        <v>67</v>
      </c>
      <c r="C6" s="72">
        <v>1</v>
      </c>
      <c r="E6" s="11" t="s">
        <v>10</v>
      </c>
      <c r="F6" s="79">
        <f>C26/F3</f>
        <v>250</v>
      </c>
      <c r="H6" s="5"/>
      <c r="I6" s="48" t="s">
        <v>4</v>
      </c>
      <c r="J6" s="82" t="s">
        <v>5</v>
      </c>
      <c r="K6" s="49" t="s">
        <v>8</v>
      </c>
    </row>
    <row r="7" spans="2:11" x14ac:dyDescent="0.3">
      <c r="B7" s="30" t="s">
        <v>68</v>
      </c>
      <c r="C7" s="72">
        <v>2</v>
      </c>
      <c r="E7" s="11" t="s">
        <v>11</v>
      </c>
      <c r="F7" s="31">
        <f>C26/F4</f>
        <v>2500</v>
      </c>
      <c r="H7" s="4" t="s">
        <v>74</v>
      </c>
      <c r="I7" s="80">
        <f>C4*C11</f>
        <v>2000</v>
      </c>
      <c r="J7" s="80">
        <f>C14*C21</f>
        <v>3000</v>
      </c>
      <c r="K7" s="81">
        <f>SUBTOTAL(9,I7,J7)</f>
        <v>5000</v>
      </c>
    </row>
    <row r="8" spans="2:11" x14ac:dyDescent="0.3">
      <c r="B8" s="30" t="s">
        <v>69</v>
      </c>
      <c r="C8" s="72">
        <f>0.1*C4</f>
        <v>1</v>
      </c>
      <c r="E8" s="12"/>
      <c r="F8" s="31"/>
      <c r="H8" s="4" t="s">
        <v>75</v>
      </c>
      <c r="I8" s="80">
        <f>(C11*C9)</f>
        <v>800</v>
      </c>
      <c r="J8" s="80">
        <f>C19*C21</f>
        <v>1800</v>
      </c>
      <c r="K8" s="81">
        <f>SUBTOTAL(9,I8,J8)</f>
        <v>2600</v>
      </c>
    </row>
    <row r="9" spans="2:11" x14ac:dyDescent="0.3">
      <c r="B9" s="14" t="s">
        <v>16</v>
      </c>
      <c r="C9" s="72">
        <f>C8+C7+C6</f>
        <v>4</v>
      </c>
      <c r="E9" s="12" t="s">
        <v>12</v>
      </c>
      <c r="H9" s="4" t="s">
        <v>76</v>
      </c>
      <c r="I9" s="80">
        <f>C11*F3</f>
        <v>1200</v>
      </c>
      <c r="J9" s="80">
        <f>F15*C21</f>
        <v>1200</v>
      </c>
      <c r="K9" s="81">
        <f>SUBTOTAL(9,I9,J9)</f>
        <v>2400</v>
      </c>
    </row>
    <row r="10" spans="2:11" x14ac:dyDescent="0.3">
      <c r="B10" s="14"/>
      <c r="C10" s="72"/>
      <c r="E10" s="11" t="s">
        <v>10</v>
      </c>
      <c r="F10">
        <f>(C26+C28)/F3</f>
        <v>1583.3333333333333</v>
      </c>
      <c r="H10" s="4" t="s">
        <v>77</v>
      </c>
      <c r="I10" s="3"/>
      <c r="J10" s="80"/>
      <c r="K10" s="81">
        <f>C26</f>
        <v>1500</v>
      </c>
    </row>
    <row r="11" spans="2:11" ht="15" thickBot="1" x14ac:dyDescent="0.35">
      <c r="B11" s="14" t="s">
        <v>6</v>
      </c>
      <c r="C11" s="78">
        <v>200</v>
      </c>
      <c r="E11" s="13" t="s">
        <v>11</v>
      </c>
      <c r="F11" s="33">
        <f>(C26+C28)/F4</f>
        <v>15833.333333333334</v>
      </c>
      <c r="H11" s="4" t="s">
        <v>78</v>
      </c>
      <c r="I11" s="3"/>
      <c r="J11" s="80"/>
      <c r="K11" s="81">
        <f>K9-K10</f>
        <v>900</v>
      </c>
    </row>
    <row r="12" spans="2:11" x14ac:dyDescent="0.3">
      <c r="B12" s="14"/>
      <c r="C12" s="73"/>
      <c r="H12" s="4"/>
      <c r="I12" s="3"/>
      <c r="J12" s="80"/>
      <c r="K12" s="6"/>
    </row>
    <row r="13" spans="2:11" ht="15" thickBot="1" x14ac:dyDescent="0.35">
      <c r="B13" s="43" t="s">
        <v>3</v>
      </c>
      <c r="C13" s="76" t="s">
        <v>61</v>
      </c>
      <c r="H13" s="4" t="s">
        <v>9</v>
      </c>
      <c r="I13" s="3"/>
      <c r="J13" s="80"/>
      <c r="K13" s="85">
        <f>K9/K7</f>
        <v>0.48</v>
      </c>
    </row>
    <row r="14" spans="2:11" ht="15" thickBot="1" x14ac:dyDescent="0.35">
      <c r="B14" s="14" t="s">
        <v>1</v>
      </c>
      <c r="C14" s="72">
        <v>30</v>
      </c>
      <c r="E14" s="44" t="s">
        <v>5</v>
      </c>
      <c r="F14" s="52" t="s">
        <v>61</v>
      </c>
      <c r="H14" s="7"/>
      <c r="I14" s="8"/>
      <c r="J14" s="83"/>
      <c r="K14" s="84"/>
    </row>
    <row r="15" spans="2:11" ht="15" thickBot="1" x14ac:dyDescent="0.35">
      <c r="B15" s="14" t="s">
        <v>15</v>
      </c>
      <c r="C15" s="72">
        <v>7</v>
      </c>
      <c r="D15" s="2"/>
      <c r="E15" s="9" t="s">
        <v>14</v>
      </c>
      <c r="F15" s="31">
        <f>C14-C19</f>
        <v>12</v>
      </c>
    </row>
    <row r="16" spans="2:11" ht="15" thickBot="1" x14ac:dyDescent="0.35">
      <c r="B16" s="30" t="s">
        <v>70</v>
      </c>
      <c r="C16" s="72">
        <v>7</v>
      </c>
      <c r="D16" s="2"/>
      <c r="E16" s="9" t="s">
        <v>9</v>
      </c>
      <c r="F16" s="31">
        <f>F15/C14</f>
        <v>0.4</v>
      </c>
      <c r="H16" s="93" t="s">
        <v>18</v>
      </c>
      <c r="I16" s="94"/>
      <c r="J16" s="94"/>
      <c r="K16" s="95"/>
    </row>
    <row r="17" spans="2:11" x14ac:dyDescent="0.3">
      <c r="B17" s="30" t="s">
        <v>71</v>
      </c>
      <c r="C17" s="72">
        <v>8</v>
      </c>
      <c r="E17" s="10" t="s">
        <v>13</v>
      </c>
      <c r="F17" s="31"/>
      <c r="H17" s="21"/>
      <c r="I17" s="50" t="s">
        <v>4</v>
      </c>
      <c r="J17" s="50" t="s">
        <v>5</v>
      </c>
      <c r="K17" s="51" t="s">
        <v>8</v>
      </c>
    </row>
    <row r="18" spans="2:11" x14ac:dyDescent="0.3">
      <c r="B18" s="30" t="s">
        <v>69</v>
      </c>
      <c r="C18" s="72">
        <f>0.1*C14</f>
        <v>3</v>
      </c>
      <c r="E18" s="11" t="s">
        <v>10</v>
      </c>
      <c r="F18" s="79">
        <f>C26/F15</f>
        <v>125</v>
      </c>
      <c r="H18" s="16" t="s">
        <v>79</v>
      </c>
      <c r="I18" s="86">
        <f>F3</f>
        <v>6</v>
      </c>
      <c r="J18" s="86">
        <f>F15</f>
        <v>12</v>
      </c>
      <c r="K18" s="88">
        <f>SUBTOTAL(9,I18,J18)</f>
        <v>18</v>
      </c>
    </row>
    <row r="19" spans="2:11" x14ac:dyDescent="0.3">
      <c r="B19" s="14" t="s">
        <v>16</v>
      </c>
      <c r="C19" s="72">
        <f>C18+C17+C16</f>
        <v>18</v>
      </c>
      <c r="E19" s="11" t="s">
        <v>11</v>
      </c>
      <c r="F19" s="31">
        <f>C26/F16</f>
        <v>3750</v>
      </c>
      <c r="H19" s="16" t="s">
        <v>80</v>
      </c>
      <c r="I19" s="87">
        <f>C11</f>
        <v>200</v>
      </c>
      <c r="J19" s="87">
        <f>C21</f>
        <v>100</v>
      </c>
      <c r="K19" s="89">
        <f t="shared" ref="K19:K20" si="0">SUBTOTAL(9,I19,J19)</f>
        <v>300</v>
      </c>
    </row>
    <row r="20" spans="2:11" x14ac:dyDescent="0.3">
      <c r="B20" s="14"/>
      <c r="C20" s="73"/>
      <c r="D20" s="2"/>
      <c r="E20" s="12"/>
      <c r="F20" s="31"/>
      <c r="H20" s="16" t="s">
        <v>81</v>
      </c>
      <c r="I20" s="86">
        <f>I18*I19</f>
        <v>1200</v>
      </c>
      <c r="J20" s="86">
        <f>J18*J19</f>
        <v>1200</v>
      </c>
      <c r="K20" s="88">
        <f t="shared" si="0"/>
        <v>2400</v>
      </c>
    </row>
    <row r="21" spans="2:11" x14ac:dyDescent="0.3">
      <c r="B21" s="14" t="s">
        <v>6</v>
      </c>
      <c r="C21" s="78">
        <v>100</v>
      </c>
      <c r="D21" s="2"/>
      <c r="E21" s="12" t="s">
        <v>12</v>
      </c>
      <c r="F21" s="31"/>
      <c r="H21" s="16"/>
      <c r="I21" s="20"/>
      <c r="J21" s="20"/>
      <c r="K21" s="22"/>
    </row>
    <row r="22" spans="2:11" x14ac:dyDescent="0.3">
      <c r="B22" s="14"/>
      <c r="C22" s="73"/>
      <c r="E22" s="11" t="s">
        <v>10</v>
      </c>
      <c r="F22" s="31">
        <f>(C26+C28)/F15</f>
        <v>791.66666666666663</v>
      </c>
      <c r="H22" s="16" t="s">
        <v>19</v>
      </c>
      <c r="I22" s="20"/>
      <c r="J22" s="20"/>
      <c r="K22" s="88">
        <f>K20/K19</f>
        <v>8</v>
      </c>
    </row>
    <row r="23" spans="2:11" ht="15" thickBot="1" x14ac:dyDescent="0.35">
      <c r="B23" s="14" t="s">
        <v>24</v>
      </c>
      <c r="C23" s="73"/>
      <c r="E23" s="13" t="s">
        <v>11</v>
      </c>
      <c r="F23" s="31">
        <f>(C26+C28)/F16</f>
        <v>23750</v>
      </c>
      <c r="H23" s="17"/>
      <c r="I23" s="18"/>
      <c r="J23" s="18"/>
      <c r="K23" s="19"/>
    </row>
    <row r="24" spans="2:11" x14ac:dyDescent="0.3">
      <c r="B24" s="30" t="s">
        <v>72</v>
      </c>
      <c r="C24" s="72">
        <v>1000</v>
      </c>
      <c r="E24" s="32"/>
      <c r="F24" s="2"/>
    </row>
    <row r="25" spans="2:11" ht="15" thickBot="1" x14ac:dyDescent="0.35">
      <c r="B25" s="30" t="s">
        <v>73</v>
      </c>
      <c r="C25" s="72">
        <v>500</v>
      </c>
      <c r="E25" s="32"/>
      <c r="F25" s="2"/>
    </row>
    <row r="26" spans="2:11" x14ac:dyDescent="0.3">
      <c r="B26" s="14" t="s">
        <v>25</v>
      </c>
      <c r="C26" s="72">
        <f>C25+C24</f>
        <v>1500</v>
      </c>
      <c r="E26" s="32"/>
      <c r="F26" s="2"/>
      <c r="H26" s="34" t="s">
        <v>28</v>
      </c>
      <c r="I26" s="46" t="s">
        <v>4</v>
      </c>
      <c r="J26" s="46" t="s">
        <v>5</v>
      </c>
      <c r="K26" s="47" t="s">
        <v>8</v>
      </c>
    </row>
    <row r="27" spans="2:11" x14ac:dyDescent="0.3">
      <c r="B27" s="14"/>
      <c r="C27" s="72"/>
      <c r="E27" s="32"/>
      <c r="F27" s="2"/>
      <c r="H27" s="35" t="s">
        <v>10</v>
      </c>
      <c r="I27" s="37">
        <f>K10/I20</f>
        <v>1.25</v>
      </c>
      <c r="J27" s="37">
        <f>K10/J9</f>
        <v>1.25</v>
      </c>
      <c r="K27" s="40">
        <f>SUM(I27:J27)</f>
        <v>2.5</v>
      </c>
    </row>
    <row r="28" spans="2:11" ht="15" thickBot="1" x14ac:dyDescent="0.35">
      <c r="B28" s="14" t="s">
        <v>17</v>
      </c>
      <c r="C28" s="72">
        <v>8000</v>
      </c>
      <c r="E28" s="32"/>
      <c r="F28" s="2"/>
      <c r="H28" s="36" t="s">
        <v>29</v>
      </c>
      <c r="I28" s="90">
        <f>K10/F4</f>
        <v>2500</v>
      </c>
      <c r="J28" s="92">
        <f>K10/F16</f>
        <v>3750</v>
      </c>
      <c r="K28" s="91">
        <f>K10/K13</f>
        <v>3125</v>
      </c>
    </row>
    <row r="29" spans="2:11" ht="15" thickBot="1" x14ac:dyDescent="0.35">
      <c r="B29" s="14"/>
      <c r="C29" s="73"/>
    </row>
    <row r="30" spans="2:11" ht="15" thickBot="1" x14ac:dyDescent="0.35">
      <c r="B30" s="15" t="s">
        <v>23</v>
      </c>
      <c r="C30" s="77">
        <v>0.05</v>
      </c>
      <c r="H30" s="34" t="s">
        <v>31</v>
      </c>
      <c r="I30" s="46" t="s">
        <v>4</v>
      </c>
      <c r="J30" s="46" t="s">
        <v>5</v>
      </c>
      <c r="K30" s="47" t="s">
        <v>8</v>
      </c>
    </row>
    <row r="31" spans="2:11" x14ac:dyDescent="0.3">
      <c r="H31" s="35" t="s">
        <v>10</v>
      </c>
      <c r="I31" s="37">
        <f>(K10+C28)/I20</f>
        <v>7.916666666666667</v>
      </c>
      <c r="J31" s="37">
        <f>(K10+C28)/J20</f>
        <v>7.916666666666667</v>
      </c>
      <c r="K31" s="40">
        <f>(K10+C28)/K20</f>
        <v>3.9583333333333335</v>
      </c>
    </row>
    <row r="32" spans="2:11" ht="15" thickBot="1" x14ac:dyDescent="0.35">
      <c r="H32" s="36" t="s">
        <v>32</v>
      </c>
      <c r="I32" s="90">
        <f>(K10+C28)/F4</f>
        <v>15833.333333333334</v>
      </c>
      <c r="J32" s="90">
        <f>(K10+C28)/F4</f>
        <v>15833.333333333334</v>
      </c>
      <c r="K32" s="41"/>
    </row>
    <row r="33" spans="8:9" ht="15" thickBot="1" x14ac:dyDescent="0.35"/>
    <row r="34" spans="8:9" x14ac:dyDescent="0.3">
      <c r="H34" s="23" t="s">
        <v>20</v>
      </c>
      <c r="I34" s="24"/>
    </row>
    <row r="35" spans="8:9" x14ac:dyDescent="0.3">
      <c r="H35" s="25"/>
      <c r="I35" s="26"/>
    </row>
    <row r="36" spans="8:9" x14ac:dyDescent="0.3">
      <c r="H36" s="25" t="s">
        <v>21</v>
      </c>
      <c r="I36" s="26"/>
    </row>
    <row r="37" spans="8:9" x14ac:dyDescent="0.3">
      <c r="H37" s="27"/>
      <c r="I37" s="26"/>
    </row>
    <row r="38" spans="8:9" x14ac:dyDescent="0.3">
      <c r="H38" s="25" t="s">
        <v>22</v>
      </c>
      <c r="I38" s="26"/>
    </row>
    <row r="39" spans="8:9" x14ac:dyDescent="0.3">
      <c r="H39" s="25"/>
      <c r="I39" s="26"/>
    </row>
    <row r="40" spans="8:9" ht="15" thickBot="1" x14ac:dyDescent="0.35">
      <c r="H40" s="28" t="s">
        <v>30</v>
      </c>
      <c r="I40" s="29"/>
    </row>
  </sheetData>
  <mergeCells count="6">
    <mergeCell ref="H16:K16"/>
    <mergeCell ref="B2:C2"/>
    <mergeCell ref="H2:K2"/>
    <mergeCell ref="H3:K3"/>
    <mergeCell ref="H4:K4"/>
    <mergeCell ref="H5:I5"/>
  </mergeCells>
  <pageMargins left="0.25" right="0.25" top="0.75" bottom="0.75" header="0.3" footer="0.3"/>
  <pageSetup orientation="portrait" r:id="rId1"/>
  <headerFooter>
    <oddHeader xml:space="preserve">&amp;CCVP Model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J9:M31"/>
  <sheetViews>
    <sheetView topLeftCell="A3" workbookViewId="0">
      <selection activeCell="J38" sqref="J38"/>
    </sheetView>
  </sheetViews>
  <sheetFormatPr defaultRowHeight="14.4" x14ac:dyDescent="0.3"/>
  <cols>
    <col min="10" max="10" width="26.21875" customWidth="1"/>
    <col min="11" max="12" width="11.5546875" customWidth="1"/>
    <col min="13" max="13" width="12.21875" customWidth="1"/>
  </cols>
  <sheetData>
    <row r="9" spans="10:13" x14ac:dyDescent="0.3">
      <c r="K9" s="54" t="s">
        <v>33</v>
      </c>
      <c r="L9" s="54" t="s">
        <v>35</v>
      </c>
      <c r="M9" s="54" t="s">
        <v>34</v>
      </c>
    </row>
    <row r="10" spans="10:13" x14ac:dyDescent="0.3">
      <c r="J10" t="s">
        <v>26</v>
      </c>
      <c r="K10" s="53"/>
      <c r="L10" s="53"/>
      <c r="M10" s="53"/>
    </row>
    <row r="12" spans="10:13" x14ac:dyDescent="0.3">
      <c r="J12" t="s">
        <v>36</v>
      </c>
      <c r="K12" s="55"/>
      <c r="L12" s="55"/>
      <c r="M12" s="59"/>
    </row>
    <row r="13" spans="10:13" x14ac:dyDescent="0.3">
      <c r="M13" s="60"/>
    </row>
    <row r="14" spans="10:13" x14ac:dyDescent="0.3">
      <c r="J14" t="s">
        <v>37</v>
      </c>
      <c r="K14" s="55"/>
      <c r="L14" s="55"/>
      <c r="M14" s="59"/>
    </row>
    <row r="18" spans="10:13" x14ac:dyDescent="0.3">
      <c r="J18" t="s">
        <v>26</v>
      </c>
      <c r="K18" s="56"/>
      <c r="L18" s="56"/>
      <c r="M18" s="56"/>
    </row>
    <row r="20" spans="10:13" x14ac:dyDescent="0.3">
      <c r="J20" t="s">
        <v>19</v>
      </c>
      <c r="K20" s="56"/>
      <c r="L20" s="56"/>
      <c r="M20" s="56"/>
    </row>
    <row r="22" spans="10:13" x14ac:dyDescent="0.3">
      <c r="J22" t="s">
        <v>38</v>
      </c>
      <c r="K22" s="58"/>
      <c r="L22" s="58"/>
      <c r="M22" s="58"/>
    </row>
    <row r="27" spans="10:13" x14ac:dyDescent="0.3">
      <c r="J27" t="s">
        <v>26</v>
      </c>
      <c r="K27" s="57"/>
      <c r="L27" s="57"/>
      <c r="M27" s="57"/>
    </row>
    <row r="29" spans="10:13" x14ac:dyDescent="0.3">
      <c r="J29" t="s">
        <v>39</v>
      </c>
      <c r="K29" s="61"/>
      <c r="L29" s="61"/>
      <c r="M29" s="61"/>
    </row>
    <row r="31" spans="10:13" x14ac:dyDescent="0.3">
      <c r="J31" t="s">
        <v>40</v>
      </c>
      <c r="K31" s="57"/>
      <c r="L31" s="57"/>
      <c r="M31" s="5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7"/>
  <sheetViews>
    <sheetView topLeftCell="A19" workbookViewId="0"/>
  </sheetViews>
  <sheetFormatPr defaultRowHeight="14.4" x14ac:dyDescent="0.3"/>
  <cols>
    <col min="1" max="1" width="30.77734375" customWidth="1"/>
    <col min="3" max="3" width="18.21875" customWidth="1"/>
    <col min="4" max="4" width="19.5546875" customWidth="1"/>
  </cols>
  <sheetData>
    <row r="1" spans="1:4" x14ac:dyDescent="0.3">
      <c r="A1" s="63" t="s">
        <v>41</v>
      </c>
      <c r="C1" s="67" t="s">
        <v>57</v>
      </c>
      <c r="D1" s="67" t="s">
        <v>58</v>
      </c>
    </row>
    <row r="2" spans="1:4" x14ac:dyDescent="0.3">
      <c r="C2" s="66"/>
      <c r="D2" s="66"/>
    </row>
    <row r="3" spans="1:4" x14ac:dyDescent="0.3">
      <c r="A3" s="65" t="s">
        <v>66</v>
      </c>
      <c r="C3" s="69">
        <v>5</v>
      </c>
      <c r="D3" s="66"/>
    </row>
    <row r="5" spans="1:4" x14ac:dyDescent="0.3">
      <c r="A5" s="64" t="s">
        <v>47</v>
      </c>
    </row>
    <row r="6" spans="1:4" x14ac:dyDescent="0.3">
      <c r="A6" t="s">
        <v>42</v>
      </c>
    </row>
    <row r="7" spans="1:4" x14ac:dyDescent="0.3">
      <c r="A7" s="62" t="s">
        <v>43</v>
      </c>
      <c r="C7">
        <v>5</v>
      </c>
    </row>
    <row r="8" spans="1:4" x14ac:dyDescent="0.3">
      <c r="A8" s="62" t="s">
        <v>44</v>
      </c>
      <c r="C8">
        <v>5</v>
      </c>
    </row>
    <row r="9" spans="1:4" x14ac:dyDescent="0.3">
      <c r="A9" s="62" t="s">
        <v>45</v>
      </c>
      <c r="C9">
        <v>5</v>
      </c>
    </row>
    <row r="10" spans="1:4" x14ac:dyDescent="0.3">
      <c r="A10" s="62" t="s">
        <v>46</v>
      </c>
      <c r="C10">
        <v>5</v>
      </c>
    </row>
    <row r="12" spans="1:4" ht="28.8" x14ac:dyDescent="0.3">
      <c r="A12" s="65" t="s">
        <v>62</v>
      </c>
      <c r="C12">
        <v>15</v>
      </c>
    </row>
    <row r="14" spans="1:4" ht="28.8" x14ac:dyDescent="0.3">
      <c r="A14" s="65" t="s">
        <v>63</v>
      </c>
      <c r="C14">
        <v>20</v>
      </c>
    </row>
    <row r="16" spans="1:4" x14ac:dyDescent="0.3">
      <c r="A16" s="64" t="s">
        <v>48</v>
      </c>
    </row>
    <row r="18" spans="1:3" x14ac:dyDescent="0.3">
      <c r="A18" t="s">
        <v>51</v>
      </c>
    </row>
    <row r="19" spans="1:3" x14ac:dyDescent="0.3">
      <c r="A19" s="62" t="s">
        <v>49</v>
      </c>
      <c r="C19">
        <v>5</v>
      </c>
    </row>
    <row r="20" spans="1:3" x14ac:dyDescent="0.3">
      <c r="A20" s="62" t="s">
        <v>50</v>
      </c>
      <c r="C20">
        <v>5</v>
      </c>
    </row>
    <row r="22" spans="1:3" x14ac:dyDescent="0.3">
      <c r="A22" t="s">
        <v>52</v>
      </c>
    </row>
    <row r="23" spans="1:3" x14ac:dyDescent="0.3">
      <c r="A23" s="62" t="s">
        <v>49</v>
      </c>
      <c r="C23">
        <v>5</v>
      </c>
    </row>
    <row r="24" spans="1:3" x14ac:dyDescent="0.3">
      <c r="A24" s="62" t="s">
        <v>50</v>
      </c>
      <c r="C24">
        <v>5</v>
      </c>
    </row>
    <row r="26" spans="1:3" x14ac:dyDescent="0.3">
      <c r="A26" t="s">
        <v>53</v>
      </c>
    </row>
    <row r="27" spans="1:3" x14ac:dyDescent="0.3">
      <c r="A27" s="62" t="s">
        <v>49</v>
      </c>
      <c r="C27">
        <v>5</v>
      </c>
    </row>
    <row r="28" spans="1:3" x14ac:dyDescent="0.3">
      <c r="A28" s="62" t="s">
        <v>50</v>
      </c>
      <c r="C28">
        <v>5</v>
      </c>
    </row>
    <row r="30" spans="1:3" ht="28.8" x14ac:dyDescent="0.3">
      <c r="A30" s="65" t="s">
        <v>54</v>
      </c>
      <c r="C30">
        <v>5</v>
      </c>
    </row>
    <row r="32" spans="1:3" x14ac:dyDescent="0.3">
      <c r="A32" s="64" t="s">
        <v>56</v>
      </c>
    </row>
    <row r="33" spans="1:4" x14ac:dyDescent="0.3">
      <c r="A33" t="s">
        <v>55</v>
      </c>
      <c r="C33">
        <v>5</v>
      </c>
    </row>
    <row r="34" spans="1:4" x14ac:dyDescent="0.3">
      <c r="A34" t="s">
        <v>59</v>
      </c>
    </row>
    <row r="35" spans="1:4" ht="15" thickBot="1" x14ac:dyDescent="0.35">
      <c r="A35" s="63" t="s">
        <v>8</v>
      </c>
      <c r="C35" s="68">
        <f>SUM(C3:C33)</f>
        <v>100</v>
      </c>
      <c r="D35" s="68">
        <f>SUM(D3:D33)</f>
        <v>0</v>
      </c>
    </row>
    <row r="36" spans="1:4" ht="15" thickTop="1" x14ac:dyDescent="0.3"/>
    <row r="37" spans="1:4" x14ac:dyDescent="0.3">
      <c r="A37" s="71"/>
      <c r="B37" s="7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 &amp; Directions</vt:lpstr>
      <vt:lpstr>Starting file</vt:lpstr>
      <vt:lpstr>Advising client</vt:lpstr>
      <vt:lpstr>Grading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Braun</dc:creator>
  <cp:lastModifiedBy>Avery Hamilton</cp:lastModifiedBy>
  <cp:lastPrinted>2018-10-11T17:44:33Z</cp:lastPrinted>
  <dcterms:created xsi:type="dcterms:W3CDTF">2016-03-12T17:41:20Z</dcterms:created>
  <dcterms:modified xsi:type="dcterms:W3CDTF">2026-10-08T02:58:09Z</dcterms:modified>
</cp:coreProperties>
</file>